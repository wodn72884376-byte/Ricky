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kjw921030\스마일리키\아크테릭스\"/>
    </mc:Choice>
  </mc:AlternateContent>
  <xr:revisionPtr revIDLastSave="0" documentId="13_ncr:1_{FF851596-EFC0-48CE-960D-861CA0B6696F}" xr6:coauthVersionLast="47" xr6:coauthVersionMax="47" xr10:uidLastSave="{00000000-0000-0000-0000-000000000000}"/>
  <bookViews>
    <workbookView xWindow="450" yWindow="5400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" i="1"/>
  <c r="H3" i="1"/>
  <c r="H4" i="1"/>
  <c r="H5" i="1"/>
  <c r="H6" i="1"/>
  <c r="H7" i="1"/>
  <c r="H8" i="1"/>
  <c r="H9" i="1"/>
  <c r="H10" i="1"/>
  <c r="H11" i="1"/>
  <c r="H12" i="1"/>
  <c r="H13" i="1"/>
  <c r="H14" i="1"/>
  <c r="J14" i="1" s="1"/>
  <c r="K14" i="1" s="1"/>
  <c r="H15" i="1"/>
  <c r="H17" i="1"/>
  <c r="H19" i="1"/>
  <c r="H20" i="1"/>
  <c r="H22" i="1"/>
  <c r="H23" i="1"/>
  <c r="H25" i="1"/>
  <c r="H26" i="1"/>
  <c r="H27" i="1"/>
  <c r="H28" i="1"/>
  <c r="J28" i="1" s="1"/>
  <c r="K28" i="1" s="1"/>
  <c r="D14" i="1"/>
  <c r="D13" i="1"/>
  <c r="D29" i="1"/>
  <c r="E29" i="1" s="1"/>
  <c r="F29" i="1" s="1"/>
  <c r="D27" i="1"/>
  <c r="F27" i="1" s="1"/>
  <c r="D26" i="1"/>
  <c r="F26" i="1" s="1"/>
  <c r="D25" i="1"/>
  <c r="F25" i="1" s="1"/>
  <c r="D24" i="1"/>
  <c r="E24" i="1" s="1"/>
  <c r="H24" i="1" s="1"/>
  <c r="D23" i="1"/>
  <c r="F23" i="1" s="1"/>
  <c r="D22" i="1"/>
  <c r="F22" i="1" s="1"/>
  <c r="D21" i="1"/>
  <c r="E21" i="1" s="1"/>
  <c r="F21" i="1" s="1"/>
  <c r="D20" i="1"/>
  <c r="D19" i="1"/>
  <c r="F19" i="1" s="1"/>
  <c r="D18" i="1"/>
  <c r="E18" i="1" s="1"/>
  <c r="H18" i="1" s="1"/>
  <c r="D17" i="1"/>
  <c r="F17" i="1" s="1"/>
  <c r="D16" i="1"/>
  <c r="E16" i="1" s="1"/>
  <c r="F16" i="1" s="1"/>
  <c r="D15" i="1"/>
  <c r="F15" i="1" s="1"/>
  <c r="D4" i="1"/>
  <c r="F4" i="1" s="1"/>
  <c r="D5" i="1"/>
  <c r="F5" i="1" s="1"/>
  <c r="J5" i="1" s="1"/>
  <c r="D6" i="1"/>
  <c r="D7" i="1"/>
  <c r="D8" i="1"/>
  <c r="F8" i="1" s="1"/>
  <c r="D9" i="1"/>
  <c r="D10" i="1"/>
  <c r="D11" i="1"/>
  <c r="D12" i="1"/>
  <c r="D3" i="1"/>
  <c r="F3" i="1" s="1"/>
  <c r="J22" i="1" l="1"/>
  <c r="K22" i="1" s="1"/>
  <c r="H16" i="1"/>
  <c r="H29" i="1"/>
  <c r="K5" i="1"/>
  <c r="H21" i="1"/>
  <c r="J8" i="1"/>
  <c r="K8" i="1" s="1"/>
  <c r="J19" i="1"/>
  <c r="K19" i="1" s="1"/>
  <c r="J3" i="1"/>
  <c r="K3" i="1" s="1"/>
  <c r="J21" i="1"/>
  <c r="K21" i="1" s="1"/>
  <c r="J17" i="1"/>
  <c r="K17" i="1" s="1"/>
  <c r="J4" i="1"/>
  <c r="K4" i="1" s="1"/>
  <c r="J23" i="1"/>
  <c r="K23" i="1" s="1"/>
  <c r="J16" i="1"/>
  <c r="K16" i="1" s="1"/>
  <c r="J27" i="1"/>
  <c r="K27" i="1" s="1"/>
  <c r="J15" i="1"/>
  <c r="K15" i="1" s="1"/>
  <c r="J26" i="1"/>
  <c r="K26" i="1" s="1"/>
  <c r="J25" i="1"/>
  <c r="K25" i="1" s="1"/>
  <c r="J29" i="1"/>
  <c r="K29" i="1" s="1"/>
  <c r="F13" i="1"/>
  <c r="F24" i="1"/>
  <c r="F20" i="1"/>
  <c r="F18" i="1"/>
  <c r="F12" i="1"/>
  <c r="F11" i="1"/>
  <c r="F10" i="1"/>
  <c r="F9" i="1"/>
  <c r="F7" i="1"/>
  <c r="F6" i="1"/>
  <c r="J11" i="1" l="1"/>
  <c r="K11" i="1" s="1"/>
  <c r="J13" i="1"/>
  <c r="K13" i="1" s="1"/>
  <c r="J6" i="1"/>
  <c r="K6" i="1" s="1"/>
  <c r="J7" i="1"/>
  <c r="K7" i="1" s="1"/>
  <c r="J12" i="1"/>
  <c r="K12" i="1" s="1"/>
  <c r="J24" i="1"/>
  <c r="K24" i="1" s="1"/>
  <c r="J20" i="1"/>
  <c r="K20" i="1" s="1"/>
  <c r="J18" i="1"/>
  <c r="K18" i="1" s="1"/>
  <c r="J9" i="1"/>
  <c r="K9" i="1" s="1"/>
  <c r="J10" i="1"/>
  <c r="K10" i="1" s="1"/>
</calcChain>
</file>

<file path=xl/sharedStrings.xml><?xml version="1.0" encoding="utf-8"?>
<sst xmlns="http://schemas.openxmlformats.org/spreadsheetml/2006/main" count="60" uniqueCount="37">
  <si>
    <t>남성</t>
    <phoneticPr fontId="2" type="noConversion"/>
  </si>
  <si>
    <t>Atom Hoody Men's</t>
  </si>
  <si>
    <t>Beta Jacket Men's</t>
  </si>
  <si>
    <t>Proton SL Hoody Men's</t>
    <phoneticPr fontId="2" type="noConversion"/>
  </si>
  <si>
    <t>Atom Jacket Men's</t>
    <phoneticPr fontId="2" type="noConversion"/>
  </si>
  <si>
    <t>Alpha SV Jacket Men's</t>
    <phoneticPr fontId="2" type="noConversion"/>
  </si>
  <si>
    <t>Alpha Jacket Men's</t>
    <phoneticPr fontId="2" type="noConversion"/>
  </si>
  <si>
    <t>Beta AR Jacket Men's</t>
    <phoneticPr fontId="2" type="noConversion"/>
  </si>
  <si>
    <t>Gamma Lightweight Hoody Men's</t>
    <phoneticPr fontId="2" type="noConversion"/>
  </si>
  <si>
    <t>Beta SL Jacket Men's</t>
    <phoneticPr fontId="2" type="noConversion"/>
  </si>
  <si>
    <t>Serratus Hoody Men's</t>
    <phoneticPr fontId="2" type="noConversion"/>
  </si>
  <si>
    <t>여성</t>
    <phoneticPr fontId="2" type="noConversion"/>
  </si>
  <si>
    <t>차액</t>
    <phoneticPr fontId="2" type="noConversion"/>
  </si>
  <si>
    <t>마진</t>
    <phoneticPr fontId="2" type="noConversion"/>
  </si>
  <si>
    <t>배송비</t>
    <phoneticPr fontId="2" type="noConversion"/>
  </si>
  <si>
    <t>Atom SL Hoody Women's</t>
    <phoneticPr fontId="2" type="noConversion"/>
  </si>
  <si>
    <t>Clarkia AR Insulated Hoody Women's</t>
    <phoneticPr fontId="2" type="noConversion"/>
  </si>
  <si>
    <t>Atom Jacket Women's</t>
    <phoneticPr fontId="2" type="noConversion"/>
  </si>
  <si>
    <t>Elec Insulated Jacket Women's</t>
  </si>
  <si>
    <t>Gamma MX Hoody Women's</t>
    <phoneticPr fontId="2" type="noConversion"/>
  </si>
  <si>
    <t>Coelle Jacket Women's</t>
    <phoneticPr fontId="2" type="noConversion"/>
  </si>
  <si>
    <t>Altira Cropped Jacket Women's</t>
    <phoneticPr fontId="2" type="noConversion"/>
  </si>
  <si>
    <t>Naya Cropped Jacket Women's</t>
    <phoneticPr fontId="2" type="noConversion"/>
  </si>
  <si>
    <t>Naya Cropped Stowhood Jacket Women's</t>
    <phoneticPr fontId="2" type="noConversion"/>
  </si>
  <si>
    <t>Sentinel Jacket Women's</t>
    <phoneticPr fontId="2" type="noConversion"/>
  </si>
  <si>
    <t>Squamish Hoody Women's</t>
    <phoneticPr fontId="2" type="noConversion"/>
  </si>
  <si>
    <t>Gamma Lightweight Hoody Women's</t>
  </si>
  <si>
    <t>Beta AR Jacket Women's</t>
    <phoneticPr fontId="2" type="noConversion"/>
  </si>
  <si>
    <t>ACC</t>
    <phoneticPr fontId="2" type="noConversion"/>
  </si>
  <si>
    <t>ACC_Bird Word Toque</t>
    <phoneticPr fontId="2" type="noConversion"/>
  </si>
  <si>
    <t>환율적용</t>
    <phoneticPr fontId="2" type="noConversion"/>
  </si>
  <si>
    <t>한국 원화</t>
    <phoneticPr fontId="2" type="noConversion"/>
  </si>
  <si>
    <t>캐나다 달러</t>
    <phoneticPr fontId="2" type="noConversion"/>
  </si>
  <si>
    <t>공식홈페이지</t>
    <phoneticPr fontId="2" type="noConversion"/>
  </si>
  <si>
    <t>Squamish Hoody Men's</t>
    <phoneticPr fontId="2" type="noConversion"/>
  </si>
  <si>
    <t>Gamma Hoody Men's</t>
    <phoneticPr fontId="2" type="noConversion"/>
  </si>
  <si>
    <t>할인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</si>
</sst>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9" fontId="0" fillId="0" borderId="0" xfId="1" applyFont="1" applyAlignment="1"/>
    <xf numFmtId="9" fontId="0" fillId="0" borderId="0" xfId="1" applyFont="1" applyAlignment="1">
      <alignment horizontal="center" vertical="center"/>
    </xf>
    <xf numFmtId="41" fontId="0" fillId="0" borderId="0" xfId="2" applyFont="1" applyAlignment="1">
      <alignment horizontal="center"/>
    </xf>
    <xf numFmtId="41" fontId="0" fillId="0" borderId="0" xfId="2" applyFont="1" applyAlignment="1">
      <alignment horizontal="center" vertical="center"/>
    </xf>
    <xf numFmtId="41" fontId="0" fillId="0" borderId="0" xfId="2" applyFont="1" applyAlignment="1">
      <alignment horizontal="center" vertical="center"/>
    </xf>
    <xf numFmtId="41" fontId="0" fillId="0" borderId="0" xfId="2" applyFont="1" applyAlignment="1"/>
    <xf numFmtId="41" fontId="0" fillId="2" borderId="0" xfId="2" applyFont="1" applyFill="1" applyAlignment="1"/>
  </cellXfs>
  <cellStyles count="3">
    <cellStyle name="백분율" xfId="1" builtinId="5"/>
    <cellStyle name="쉼표 [0]" xfId="2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activeCell="N19" sqref="N19"/>
    </sheetView>
  </sheetViews>
  <sheetFormatPr defaultRowHeight="16.5" x14ac:dyDescent="0.3"/>
  <cols>
    <col min="2" max="2" width="22.875" bestFit="1" customWidth="1"/>
    <col min="3" max="3" width="11.75" style="6" customWidth="1"/>
    <col min="4" max="5" width="10.875" style="6" bestFit="1" customWidth="1"/>
    <col min="6" max="6" width="9.375" style="6" bestFit="1" customWidth="1"/>
    <col min="7" max="7" width="9.125" style="6" bestFit="1" customWidth="1"/>
    <col min="8" max="8" width="10.25" style="6" bestFit="1" customWidth="1"/>
    <col min="9" max="9" width="10.125" style="6" customWidth="1"/>
    <col min="10" max="10" width="10.125" style="6" bestFit="1" customWidth="1"/>
    <col min="11" max="11" width="10.125" style="1" customWidth="1"/>
  </cols>
  <sheetData>
    <row r="1" spans="1:11" x14ac:dyDescent="0.3">
      <c r="C1" s="3" t="s">
        <v>33</v>
      </c>
      <c r="D1" s="3"/>
      <c r="E1" s="3"/>
      <c r="F1" s="4" t="s">
        <v>12</v>
      </c>
      <c r="G1" s="4" t="s">
        <v>14</v>
      </c>
      <c r="H1" s="4" t="s">
        <v>36</v>
      </c>
      <c r="I1" s="5"/>
      <c r="J1" s="4" t="s">
        <v>13</v>
      </c>
      <c r="K1" s="2"/>
    </row>
    <row r="2" spans="1:11" x14ac:dyDescent="0.3">
      <c r="C2" s="6" t="s">
        <v>32</v>
      </c>
      <c r="D2" s="6" t="s">
        <v>30</v>
      </c>
      <c r="E2" s="6" t="s">
        <v>31</v>
      </c>
      <c r="F2" s="4"/>
      <c r="G2" s="4"/>
      <c r="H2" s="4"/>
      <c r="I2" s="5"/>
      <c r="J2" s="4"/>
      <c r="K2" s="2"/>
    </row>
    <row r="3" spans="1:11" x14ac:dyDescent="0.3">
      <c r="A3" t="s">
        <v>0</v>
      </c>
      <c r="B3" t="s">
        <v>3</v>
      </c>
      <c r="C3" s="6">
        <v>360</v>
      </c>
      <c r="D3" s="6">
        <f>C3*1050</f>
        <v>378000</v>
      </c>
      <c r="E3" s="6">
        <v>450000</v>
      </c>
      <c r="F3" s="6">
        <f>E3-D3</f>
        <v>72000</v>
      </c>
      <c r="G3" s="6">
        <v>20000</v>
      </c>
      <c r="H3" s="6">
        <f>E3*0.1</f>
        <v>45000</v>
      </c>
      <c r="I3" s="6">
        <f>E3-H3</f>
        <v>405000</v>
      </c>
      <c r="J3" s="6">
        <f>F3-H3</f>
        <v>27000</v>
      </c>
      <c r="K3" s="1">
        <f>J3/D3</f>
        <v>7.1428571428571425E-2</v>
      </c>
    </row>
    <row r="4" spans="1:11" x14ac:dyDescent="0.3">
      <c r="A4" t="s">
        <v>0</v>
      </c>
      <c r="B4" t="s">
        <v>4</v>
      </c>
      <c r="C4" s="6">
        <v>360</v>
      </c>
      <c r="D4" s="6">
        <f t="shared" ref="D4:D29" si="0">C4*1050</f>
        <v>378000</v>
      </c>
      <c r="E4" s="6">
        <v>430000</v>
      </c>
      <c r="F4" s="6">
        <f t="shared" ref="F4:F29" si="1">E4-D4</f>
        <v>52000</v>
      </c>
      <c r="G4" s="6">
        <v>20000</v>
      </c>
      <c r="H4" s="6">
        <f t="shared" ref="H4:H29" si="2">E4*0.1</f>
        <v>43000</v>
      </c>
      <c r="I4" s="6">
        <f t="shared" ref="I4:I29" si="3">E4-H4</f>
        <v>387000</v>
      </c>
      <c r="J4" s="6">
        <f>F4-H4</f>
        <v>9000</v>
      </c>
      <c r="K4" s="1">
        <f>J4/D4</f>
        <v>2.3809523809523808E-2</v>
      </c>
    </row>
    <row r="5" spans="1:11" x14ac:dyDescent="0.3">
      <c r="A5" t="s">
        <v>0</v>
      </c>
      <c r="B5" t="s">
        <v>1</v>
      </c>
      <c r="C5" s="6">
        <v>380</v>
      </c>
      <c r="D5" s="6">
        <f t="shared" si="0"/>
        <v>399000</v>
      </c>
      <c r="E5" s="6">
        <v>480000</v>
      </c>
      <c r="F5" s="6">
        <f t="shared" si="1"/>
        <v>81000</v>
      </c>
      <c r="G5" s="6">
        <v>20000</v>
      </c>
      <c r="H5" s="6">
        <f t="shared" si="2"/>
        <v>48000</v>
      </c>
      <c r="I5" s="6">
        <f t="shared" si="3"/>
        <v>432000</v>
      </c>
      <c r="J5" s="6">
        <f>F5-H5</f>
        <v>33000</v>
      </c>
      <c r="K5" s="1">
        <f>J5/D5</f>
        <v>8.2706766917293228E-2</v>
      </c>
    </row>
    <row r="6" spans="1:11" x14ac:dyDescent="0.3">
      <c r="A6" t="s">
        <v>0</v>
      </c>
      <c r="B6" t="s">
        <v>5</v>
      </c>
      <c r="C6" s="6">
        <v>1150</v>
      </c>
      <c r="D6" s="6">
        <f t="shared" si="0"/>
        <v>1207500</v>
      </c>
      <c r="E6" s="6">
        <v>1450000</v>
      </c>
      <c r="F6" s="6">
        <f t="shared" si="1"/>
        <v>242500</v>
      </c>
      <c r="G6" s="6">
        <v>20000</v>
      </c>
      <c r="H6" s="6">
        <f t="shared" si="2"/>
        <v>145000</v>
      </c>
      <c r="I6" s="6">
        <f t="shared" si="3"/>
        <v>1305000</v>
      </c>
      <c r="J6" s="6">
        <f>F6-H6</f>
        <v>97500</v>
      </c>
      <c r="K6" s="1">
        <f>J6/D6</f>
        <v>8.0745341614906832E-2</v>
      </c>
    </row>
    <row r="7" spans="1:11" x14ac:dyDescent="0.3">
      <c r="A7" t="s">
        <v>0</v>
      </c>
      <c r="B7" t="s">
        <v>6</v>
      </c>
      <c r="C7" s="6">
        <v>900</v>
      </c>
      <c r="D7" s="6">
        <f t="shared" si="0"/>
        <v>945000</v>
      </c>
      <c r="E7" s="6">
        <v>1090000</v>
      </c>
      <c r="F7" s="6">
        <f t="shared" si="1"/>
        <v>145000</v>
      </c>
      <c r="G7" s="6">
        <v>20000</v>
      </c>
      <c r="H7" s="6">
        <f t="shared" si="2"/>
        <v>109000</v>
      </c>
      <c r="I7" s="6">
        <f t="shared" si="3"/>
        <v>981000</v>
      </c>
      <c r="J7" s="6">
        <f>F7-H7</f>
        <v>36000</v>
      </c>
      <c r="K7" s="1">
        <f>J7/D7</f>
        <v>3.8095238095238099E-2</v>
      </c>
    </row>
    <row r="8" spans="1:11" x14ac:dyDescent="0.3">
      <c r="A8" t="s">
        <v>0</v>
      </c>
      <c r="B8" t="s">
        <v>7</v>
      </c>
      <c r="C8" s="6">
        <v>840</v>
      </c>
      <c r="D8" s="6">
        <f t="shared" si="0"/>
        <v>882000</v>
      </c>
      <c r="E8" s="6">
        <v>1050000</v>
      </c>
      <c r="F8" s="6">
        <f t="shared" si="1"/>
        <v>168000</v>
      </c>
      <c r="G8" s="6">
        <v>20000</v>
      </c>
      <c r="H8" s="6">
        <f t="shared" si="2"/>
        <v>105000</v>
      </c>
      <c r="I8" s="6">
        <f t="shared" si="3"/>
        <v>945000</v>
      </c>
      <c r="J8" s="6">
        <f>F8-H8</f>
        <v>63000</v>
      </c>
      <c r="K8" s="1">
        <f>J8/D8</f>
        <v>7.1428571428571425E-2</v>
      </c>
    </row>
    <row r="9" spans="1:11" x14ac:dyDescent="0.3">
      <c r="A9" t="s">
        <v>0</v>
      </c>
      <c r="B9" t="s">
        <v>2</v>
      </c>
      <c r="C9" s="6">
        <v>520</v>
      </c>
      <c r="D9" s="6">
        <f t="shared" si="0"/>
        <v>546000</v>
      </c>
      <c r="E9" s="6">
        <v>650000</v>
      </c>
      <c r="F9" s="6">
        <f t="shared" si="1"/>
        <v>104000</v>
      </c>
      <c r="G9" s="6">
        <v>20000</v>
      </c>
      <c r="H9" s="6">
        <f t="shared" si="2"/>
        <v>65000</v>
      </c>
      <c r="I9" s="6">
        <f t="shared" si="3"/>
        <v>585000</v>
      </c>
      <c r="J9" s="6">
        <f>F9-H9</f>
        <v>39000</v>
      </c>
      <c r="K9" s="1">
        <f>J9/D9</f>
        <v>7.1428571428571425E-2</v>
      </c>
    </row>
    <row r="10" spans="1:11" x14ac:dyDescent="0.3">
      <c r="A10" t="s">
        <v>0</v>
      </c>
      <c r="B10" t="s">
        <v>8</v>
      </c>
      <c r="C10" s="6">
        <v>340</v>
      </c>
      <c r="D10" s="6">
        <f t="shared" si="0"/>
        <v>357000</v>
      </c>
      <c r="E10" s="6">
        <v>430000</v>
      </c>
      <c r="F10" s="6">
        <f t="shared" si="1"/>
        <v>73000</v>
      </c>
      <c r="G10" s="6">
        <v>20000</v>
      </c>
      <c r="H10" s="6">
        <f t="shared" si="2"/>
        <v>43000</v>
      </c>
      <c r="I10" s="6">
        <f t="shared" si="3"/>
        <v>387000</v>
      </c>
      <c r="J10" s="6">
        <f>F10-H10</f>
        <v>30000</v>
      </c>
      <c r="K10" s="1">
        <f>J10/D10</f>
        <v>8.4033613445378158E-2</v>
      </c>
    </row>
    <row r="11" spans="1:11" x14ac:dyDescent="0.3">
      <c r="A11" t="s">
        <v>0</v>
      </c>
      <c r="B11" t="s">
        <v>9</v>
      </c>
      <c r="C11" s="6">
        <v>640</v>
      </c>
      <c r="D11" s="6">
        <f t="shared" si="0"/>
        <v>672000</v>
      </c>
      <c r="E11" s="6">
        <v>850000</v>
      </c>
      <c r="F11" s="6">
        <f t="shared" si="1"/>
        <v>178000</v>
      </c>
      <c r="G11" s="6">
        <v>20000</v>
      </c>
      <c r="H11" s="6">
        <f t="shared" si="2"/>
        <v>85000</v>
      </c>
      <c r="I11" s="6">
        <f t="shared" si="3"/>
        <v>765000</v>
      </c>
      <c r="J11" s="6">
        <f>F11-H11</f>
        <v>93000</v>
      </c>
      <c r="K11" s="1">
        <f>J11/D11</f>
        <v>0.13839285714285715</v>
      </c>
    </row>
    <row r="12" spans="1:11" x14ac:dyDescent="0.3">
      <c r="A12" t="s">
        <v>0</v>
      </c>
      <c r="B12" t="s">
        <v>10</v>
      </c>
      <c r="C12" s="6">
        <v>440</v>
      </c>
      <c r="D12" s="6">
        <f t="shared" si="0"/>
        <v>462000</v>
      </c>
      <c r="E12" s="6">
        <v>570000</v>
      </c>
      <c r="F12" s="6">
        <f t="shared" si="1"/>
        <v>108000</v>
      </c>
      <c r="G12" s="6">
        <v>20000</v>
      </c>
      <c r="H12" s="6">
        <f t="shared" si="2"/>
        <v>57000</v>
      </c>
      <c r="I12" s="6">
        <f t="shared" si="3"/>
        <v>513000</v>
      </c>
      <c r="J12" s="6">
        <f>F12-H12</f>
        <v>51000</v>
      </c>
      <c r="K12" s="1">
        <f>J12/D12</f>
        <v>0.11038961038961038</v>
      </c>
    </row>
    <row r="13" spans="1:11" x14ac:dyDescent="0.3">
      <c r="A13" t="s">
        <v>0</v>
      </c>
      <c r="B13" t="s">
        <v>34</v>
      </c>
      <c r="C13" s="6">
        <v>260</v>
      </c>
      <c r="D13" s="6">
        <f t="shared" si="0"/>
        <v>273000</v>
      </c>
      <c r="E13" s="6">
        <v>310000</v>
      </c>
      <c r="F13" s="6">
        <f t="shared" si="1"/>
        <v>37000</v>
      </c>
      <c r="G13" s="6">
        <v>20000</v>
      </c>
      <c r="H13" s="6">
        <f t="shared" si="2"/>
        <v>31000</v>
      </c>
      <c r="I13" s="6">
        <f t="shared" si="3"/>
        <v>279000</v>
      </c>
      <c r="J13" s="6">
        <f>F13-H13</f>
        <v>6000</v>
      </c>
      <c r="K13" s="1">
        <f>J13/D13</f>
        <v>2.197802197802198E-2</v>
      </c>
    </row>
    <row r="14" spans="1:11" x14ac:dyDescent="0.3">
      <c r="A14" t="s">
        <v>0</v>
      </c>
      <c r="B14" t="s">
        <v>35</v>
      </c>
      <c r="C14" s="6">
        <v>380</v>
      </c>
      <c r="D14" s="6">
        <f t="shared" si="0"/>
        <v>399000</v>
      </c>
      <c r="G14" s="6">
        <v>20000</v>
      </c>
      <c r="H14" s="6">
        <f t="shared" si="2"/>
        <v>0</v>
      </c>
      <c r="I14" s="6">
        <f t="shared" si="3"/>
        <v>0</v>
      </c>
      <c r="J14" s="6">
        <f>F14-H14</f>
        <v>0</v>
      </c>
      <c r="K14" s="1">
        <f>J14/D14</f>
        <v>0</v>
      </c>
    </row>
    <row r="15" spans="1:11" x14ac:dyDescent="0.3">
      <c r="A15" t="s">
        <v>11</v>
      </c>
      <c r="B15" t="s">
        <v>15</v>
      </c>
      <c r="C15" s="6">
        <v>340</v>
      </c>
      <c r="D15" s="6">
        <f t="shared" si="0"/>
        <v>357000</v>
      </c>
      <c r="E15" s="6">
        <v>430000</v>
      </c>
      <c r="F15" s="6">
        <f t="shared" si="1"/>
        <v>73000</v>
      </c>
      <c r="G15" s="6">
        <v>20000</v>
      </c>
      <c r="H15" s="6">
        <f t="shared" si="2"/>
        <v>43000</v>
      </c>
      <c r="I15" s="6">
        <f t="shared" si="3"/>
        <v>387000</v>
      </c>
      <c r="J15" s="6">
        <f>F15-H15</f>
        <v>30000</v>
      </c>
      <c r="K15" s="1">
        <f>J15/D15</f>
        <v>8.4033613445378158E-2</v>
      </c>
    </row>
    <row r="16" spans="1:11" x14ac:dyDescent="0.3">
      <c r="A16" t="s">
        <v>11</v>
      </c>
      <c r="B16" t="s">
        <v>16</v>
      </c>
      <c r="C16" s="6">
        <v>440</v>
      </c>
      <c r="D16" s="6">
        <f t="shared" si="0"/>
        <v>462000</v>
      </c>
      <c r="E16" s="7">
        <f>D16+D16*0.3</f>
        <v>600600</v>
      </c>
      <c r="F16" s="6">
        <f t="shared" si="1"/>
        <v>138600</v>
      </c>
      <c r="G16" s="6">
        <v>20000</v>
      </c>
      <c r="H16" s="6">
        <f t="shared" si="2"/>
        <v>60060</v>
      </c>
      <c r="I16" s="6">
        <f t="shared" si="3"/>
        <v>540540</v>
      </c>
      <c r="J16" s="6">
        <f>F16-H16</f>
        <v>78540</v>
      </c>
      <c r="K16" s="1">
        <f>J16/D16</f>
        <v>0.17</v>
      </c>
    </row>
    <row r="17" spans="1:11" x14ac:dyDescent="0.3">
      <c r="A17" t="s">
        <v>11</v>
      </c>
      <c r="B17" t="s">
        <v>17</v>
      </c>
      <c r="C17" s="6">
        <v>360</v>
      </c>
      <c r="D17" s="6">
        <f t="shared" si="0"/>
        <v>378000</v>
      </c>
      <c r="E17" s="6">
        <v>430000</v>
      </c>
      <c r="F17" s="6">
        <f t="shared" si="1"/>
        <v>52000</v>
      </c>
      <c r="G17" s="6">
        <v>20000</v>
      </c>
      <c r="H17" s="6">
        <f t="shared" si="2"/>
        <v>43000</v>
      </c>
      <c r="I17" s="6">
        <f t="shared" si="3"/>
        <v>387000</v>
      </c>
      <c r="J17" s="6">
        <f>F17-H17</f>
        <v>9000</v>
      </c>
      <c r="K17" s="1">
        <f>J17/D17</f>
        <v>2.3809523809523808E-2</v>
      </c>
    </row>
    <row r="18" spans="1:11" x14ac:dyDescent="0.3">
      <c r="A18" t="s">
        <v>11</v>
      </c>
      <c r="B18" t="s">
        <v>18</v>
      </c>
      <c r="C18" s="6">
        <v>380</v>
      </c>
      <c r="D18" s="6">
        <f t="shared" si="0"/>
        <v>399000</v>
      </c>
      <c r="E18" s="7">
        <f>D18+D18*0.3</f>
        <v>518700</v>
      </c>
      <c r="F18" s="6">
        <f t="shared" si="1"/>
        <v>119700</v>
      </c>
      <c r="G18" s="6">
        <v>20000</v>
      </c>
      <c r="H18" s="6">
        <f t="shared" si="2"/>
        <v>51870</v>
      </c>
      <c r="I18" s="6">
        <f t="shared" si="3"/>
        <v>466830</v>
      </c>
      <c r="J18" s="6">
        <f>F18-H18</f>
        <v>67830</v>
      </c>
      <c r="K18" s="1">
        <f>J18/D18</f>
        <v>0.17</v>
      </c>
    </row>
    <row r="19" spans="1:11" x14ac:dyDescent="0.3">
      <c r="A19" t="s">
        <v>11</v>
      </c>
      <c r="B19" t="s">
        <v>19</v>
      </c>
      <c r="C19" s="6">
        <v>520</v>
      </c>
      <c r="D19" s="6">
        <f t="shared" si="0"/>
        <v>546000</v>
      </c>
      <c r="E19" s="6">
        <v>630000</v>
      </c>
      <c r="F19" s="6">
        <f t="shared" si="1"/>
        <v>84000</v>
      </c>
      <c r="G19" s="6">
        <v>20000</v>
      </c>
      <c r="H19" s="6">
        <f t="shared" si="2"/>
        <v>63000</v>
      </c>
      <c r="I19" s="6">
        <f t="shared" si="3"/>
        <v>567000</v>
      </c>
      <c r="J19" s="6">
        <f>F19-H19</f>
        <v>21000</v>
      </c>
      <c r="K19" s="1">
        <f>J19/D19</f>
        <v>3.8461538461538464E-2</v>
      </c>
    </row>
    <row r="20" spans="1:11" x14ac:dyDescent="0.3">
      <c r="A20" t="s">
        <v>11</v>
      </c>
      <c r="B20" t="s">
        <v>20</v>
      </c>
      <c r="C20" s="6">
        <v>500</v>
      </c>
      <c r="D20" s="6">
        <f t="shared" si="0"/>
        <v>525000</v>
      </c>
      <c r="E20" s="6">
        <v>650000</v>
      </c>
      <c r="F20" s="6">
        <f t="shared" si="1"/>
        <v>125000</v>
      </c>
      <c r="G20" s="6">
        <v>20000</v>
      </c>
      <c r="H20" s="6">
        <f t="shared" si="2"/>
        <v>65000</v>
      </c>
      <c r="I20" s="6">
        <f t="shared" si="3"/>
        <v>585000</v>
      </c>
      <c r="J20" s="6">
        <f>F20-H20</f>
        <v>60000</v>
      </c>
      <c r="K20" s="1">
        <f>J20/D20</f>
        <v>0.11428571428571428</v>
      </c>
    </row>
    <row r="21" spans="1:11" x14ac:dyDescent="0.3">
      <c r="A21" t="s">
        <v>11</v>
      </c>
      <c r="B21" t="s">
        <v>21</v>
      </c>
      <c r="C21" s="6">
        <v>840</v>
      </c>
      <c r="D21" s="6">
        <f t="shared" si="0"/>
        <v>882000</v>
      </c>
      <c r="E21" s="7">
        <f>D21+D21*0.3</f>
        <v>1146600</v>
      </c>
      <c r="F21" s="6">
        <f t="shared" si="1"/>
        <v>264600</v>
      </c>
      <c r="G21" s="6">
        <v>20000</v>
      </c>
      <c r="H21" s="6">
        <f t="shared" si="2"/>
        <v>114660</v>
      </c>
      <c r="I21" s="6">
        <f t="shared" si="3"/>
        <v>1031940</v>
      </c>
      <c r="J21" s="6">
        <f>F21-H21</f>
        <v>149940</v>
      </c>
      <c r="K21" s="1">
        <f>J21/D21</f>
        <v>0.17</v>
      </c>
    </row>
    <row r="22" spans="1:11" x14ac:dyDescent="0.3">
      <c r="A22" t="s">
        <v>11</v>
      </c>
      <c r="B22" t="s">
        <v>22</v>
      </c>
      <c r="C22" s="6">
        <v>640</v>
      </c>
      <c r="D22" s="6">
        <f t="shared" si="0"/>
        <v>672000</v>
      </c>
      <c r="E22" s="6">
        <v>790000</v>
      </c>
      <c r="F22" s="6">
        <f t="shared" si="1"/>
        <v>118000</v>
      </c>
      <c r="G22" s="6">
        <v>20000</v>
      </c>
      <c r="H22" s="6">
        <f t="shared" si="2"/>
        <v>79000</v>
      </c>
      <c r="I22" s="6">
        <f t="shared" si="3"/>
        <v>711000</v>
      </c>
      <c r="J22" s="6">
        <f>F22-H22</f>
        <v>39000</v>
      </c>
      <c r="K22" s="1">
        <f>J22/D22</f>
        <v>5.8035714285714288E-2</v>
      </c>
    </row>
    <row r="23" spans="1:11" x14ac:dyDescent="0.3">
      <c r="A23" t="s">
        <v>11</v>
      </c>
      <c r="B23" t="s">
        <v>23</v>
      </c>
      <c r="C23" s="6">
        <v>300</v>
      </c>
      <c r="D23" s="6">
        <f t="shared" si="0"/>
        <v>315000</v>
      </c>
      <c r="E23" s="6">
        <v>399000</v>
      </c>
      <c r="F23" s="6">
        <f t="shared" si="1"/>
        <v>84000</v>
      </c>
      <c r="G23" s="6">
        <v>20000</v>
      </c>
      <c r="H23" s="6">
        <f t="shared" si="2"/>
        <v>39900</v>
      </c>
      <c r="I23" s="6">
        <f t="shared" si="3"/>
        <v>359100</v>
      </c>
      <c r="J23" s="6">
        <f>F23-H23</f>
        <v>44100</v>
      </c>
      <c r="K23" s="1">
        <f>J23/D23</f>
        <v>0.14000000000000001</v>
      </c>
    </row>
    <row r="24" spans="1:11" x14ac:dyDescent="0.3">
      <c r="A24" t="s">
        <v>11</v>
      </c>
      <c r="B24" t="s">
        <v>24</v>
      </c>
      <c r="C24" s="6">
        <v>900</v>
      </c>
      <c r="D24" s="6">
        <f t="shared" si="0"/>
        <v>945000</v>
      </c>
      <c r="E24" s="7">
        <f>D24+D24*0.3</f>
        <v>1228500</v>
      </c>
      <c r="F24" s="6">
        <f t="shared" si="1"/>
        <v>283500</v>
      </c>
      <c r="G24" s="6">
        <v>20000</v>
      </c>
      <c r="H24" s="6">
        <f t="shared" si="2"/>
        <v>122850</v>
      </c>
      <c r="I24" s="6">
        <f t="shared" si="3"/>
        <v>1105650</v>
      </c>
      <c r="J24" s="6">
        <f>F24-H24</f>
        <v>160650</v>
      </c>
      <c r="K24" s="1">
        <f>J24/D24</f>
        <v>0.17</v>
      </c>
    </row>
    <row r="25" spans="1:11" x14ac:dyDescent="0.3">
      <c r="A25" t="s">
        <v>11</v>
      </c>
      <c r="B25" t="s">
        <v>25</v>
      </c>
      <c r="C25" s="6">
        <v>260</v>
      </c>
      <c r="D25" s="6">
        <f t="shared" si="0"/>
        <v>273000</v>
      </c>
      <c r="E25" s="6">
        <v>310000</v>
      </c>
      <c r="F25" s="6">
        <f t="shared" si="1"/>
        <v>37000</v>
      </c>
      <c r="G25" s="6">
        <v>20000</v>
      </c>
      <c r="H25" s="6">
        <f t="shared" si="2"/>
        <v>31000</v>
      </c>
      <c r="I25" s="6">
        <f t="shared" si="3"/>
        <v>279000</v>
      </c>
      <c r="J25" s="6">
        <f>F25-H25</f>
        <v>6000</v>
      </c>
      <c r="K25" s="1">
        <f>J25/D25</f>
        <v>2.197802197802198E-2</v>
      </c>
    </row>
    <row r="26" spans="1:11" x14ac:dyDescent="0.3">
      <c r="A26" t="s">
        <v>11</v>
      </c>
      <c r="B26" t="s">
        <v>26</v>
      </c>
      <c r="C26" s="6">
        <v>340</v>
      </c>
      <c r="D26" s="6">
        <f t="shared" si="0"/>
        <v>357000</v>
      </c>
      <c r="E26" s="6">
        <v>430000</v>
      </c>
      <c r="F26" s="6">
        <f t="shared" si="1"/>
        <v>73000</v>
      </c>
      <c r="G26" s="6">
        <v>20000</v>
      </c>
      <c r="H26" s="6">
        <f t="shared" si="2"/>
        <v>43000</v>
      </c>
      <c r="I26" s="6">
        <f t="shared" si="3"/>
        <v>387000</v>
      </c>
      <c r="J26" s="6">
        <f>F26-H26</f>
        <v>30000</v>
      </c>
      <c r="K26" s="1">
        <f>J26/D26</f>
        <v>8.4033613445378158E-2</v>
      </c>
    </row>
    <row r="27" spans="1:11" x14ac:dyDescent="0.3">
      <c r="A27" t="s">
        <v>11</v>
      </c>
      <c r="B27" t="s">
        <v>27</v>
      </c>
      <c r="C27" s="6">
        <v>840</v>
      </c>
      <c r="D27" s="6">
        <f t="shared" si="0"/>
        <v>882000</v>
      </c>
      <c r="E27" s="6">
        <v>1050000</v>
      </c>
      <c r="F27" s="6">
        <f t="shared" si="1"/>
        <v>168000</v>
      </c>
      <c r="G27" s="6">
        <v>20000</v>
      </c>
      <c r="H27" s="6">
        <f t="shared" si="2"/>
        <v>105000</v>
      </c>
      <c r="I27" s="6">
        <f t="shared" si="3"/>
        <v>945000</v>
      </c>
      <c r="J27" s="6">
        <f>F27-H27</f>
        <v>63000</v>
      </c>
      <c r="K27" s="1">
        <f>J27/D27</f>
        <v>7.1428571428571425E-2</v>
      </c>
    </row>
    <row r="28" spans="1:11" x14ac:dyDescent="0.3">
      <c r="H28" s="6">
        <f t="shared" si="2"/>
        <v>0</v>
      </c>
      <c r="I28" s="6">
        <f t="shared" si="3"/>
        <v>0</v>
      </c>
      <c r="J28" s="6">
        <f>F28-H28</f>
        <v>0</v>
      </c>
      <c r="K28" s="1" t="e">
        <f>J28/D28</f>
        <v>#DIV/0!</v>
      </c>
    </row>
    <row r="29" spans="1:11" x14ac:dyDescent="0.3">
      <c r="A29" t="s">
        <v>28</v>
      </c>
      <c r="B29" t="s">
        <v>29</v>
      </c>
      <c r="C29" s="6">
        <v>80</v>
      </c>
      <c r="D29" s="6">
        <f t="shared" si="0"/>
        <v>84000</v>
      </c>
      <c r="E29" s="7">
        <f>D29+D29*0.3</f>
        <v>109200</v>
      </c>
      <c r="F29" s="6">
        <f t="shared" si="1"/>
        <v>25200</v>
      </c>
      <c r="G29" s="6">
        <v>20000</v>
      </c>
      <c r="H29" s="6">
        <f t="shared" si="2"/>
        <v>10920</v>
      </c>
      <c r="I29" s="6">
        <f t="shared" si="3"/>
        <v>98280</v>
      </c>
      <c r="J29" s="6">
        <f>F29-H29</f>
        <v>14280</v>
      </c>
      <c r="K29" s="1">
        <f>J29/D29</f>
        <v>0.17</v>
      </c>
    </row>
  </sheetData>
  <mergeCells count="5">
    <mergeCell ref="C1:E1"/>
    <mergeCell ref="F1:F2"/>
    <mergeCell ref="J1:J2"/>
    <mergeCell ref="G1:G2"/>
    <mergeCell ref="H1:H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김재우</dc:creator>
  <cp:lastModifiedBy>재우 김</cp:lastModifiedBy>
  <dcterms:created xsi:type="dcterms:W3CDTF">2015-06-05T18:19:34Z</dcterms:created>
  <dcterms:modified xsi:type="dcterms:W3CDTF">2026-08-28T03:55:59Z</dcterms:modified>
</cp:coreProperties>
</file>